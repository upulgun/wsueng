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30010651_westernsydney_edu_au/Documents/Teaching/2023 Autumn/ELEC1006 - Engineering Computing/EngComp Modules/Module 13 - Introduction to Excel/"/>
    </mc:Choice>
  </mc:AlternateContent>
  <xr:revisionPtr revIDLastSave="186" documentId="11_F25DC773A252ABDACC1048E881D96D985ADE58F3" xr6:coauthVersionLast="47" xr6:coauthVersionMax="47" xr10:uidLastSave="{6BB8B243-D4F7-421B-91E7-F4DD213406B4}"/>
  <bookViews>
    <workbookView xWindow="1695" yWindow="2865" windowWidth="13470" windowHeight="9195" activeTab="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7" l="1"/>
  <c r="D24" i="3"/>
  <c r="D23" i="3"/>
  <c r="C12" i="2" l="1"/>
  <c r="D12" i="2"/>
  <c r="B12" i="2"/>
  <c r="E6" i="2"/>
  <c r="E7" i="2"/>
  <c r="E8" i="2"/>
  <c r="E9" i="2"/>
  <c r="E10" i="2"/>
  <c r="E5" i="2"/>
  <c r="B12" i="1"/>
  <c r="B5" i="1"/>
  <c r="B14" i="1" l="1"/>
</calcChain>
</file>

<file path=xl/sharedStrings.xml><?xml version="1.0" encoding="utf-8"?>
<sst xmlns="http://schemas.openxmlformats.org/spreadsheetml/2006/main" count="43" uniqueCount="32">
  <si>
    <t>Profit Projection</t>
  </si>
  <si>
    <t>Unit Price</t>
  </si>
  <si>
    <t>Unit Sales</t>
  </si>
  <si>
    <t>Gross Sales</t>
  </si>
  <si>
    <t>Expenses</t>
  </si>
  <si>
    <t xml:space="preserve">  Production</t>
  </si>
  <si>
    <t xml:space="preserve">  Distribution</t>
  </si>
  <si>
    <t xml:space="preserve">  Marketing</t>
  </si>
  <si>
    <t xml:space="preserve">  Overhead</t>
  </si>
  <si>
    <t>Total Expenses</t>
  </si>
  <si>
    <t>Net Profit</t>
  </si>
  <si>
    <t>Circuits and Systems Grades</t>
  </si>
  <si>
    <t>Student</t>
  </si>
  <si>
    <t>Quiz 1</t>
  </si>
  <si>
    <t>Quiz 2</t>
  </si>
  <si>
    <t>Quiz 3</t>
  </si>
  <si>
    <t>Average</t>
  </si>
  <si>
    <t>David</t>
  </si>
  <si>
    <t>John</t>
  </si>
  <si>
    <t>Adam</t>
  </si>
  <si>
    <t>Bruce</t>
  </si>
  <si>
    <t>Phil</t>
  </si>
  <si>
    <t>Ismail</t>
  </si>
  <si>
    <t>Class Average</t>
  </si>
  <si>
    <t>Year</t>
  </si>
  <si>
    <t>Region 1</t>
  </si>
  <si>
    <t>Region 2</t>
  </si>
  <si>
    <t>Region 3</t>
  </si>
  <si>
    <t>Region 4</t>
  </si>
  <si>
    <r>
      <t>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:</t>
    </r>
  </si>
  <si>
    <r>
      <t>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:</t>
    </r>
  </si>
  <si>
    <t>test: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</si>
</sst>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Unit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48955928701683"/>
          <c:y val="0.14070682813558985"/>
          <c:w val="0.55010898730595481"/>
          <c:h val="0.6707800992169317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Region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Sheet3!$B$3:$B$8</c:f>
              <c:numCache>
                <c:formatCode>General</c:formatCode>
                <c:ptCount val="6"/>
                <c:pt idx="0">
                  <c:v>1203</c:v>
                </c:pt>
                <c:pt idx="1">
                  <c:v>1490</c:v>
                </c:pt>
                <c:pt idx="2">
                  <c:v>1345</c:v>
                </c:pt>
                <c:pt idx="3">
                  <c:v>1540</c:v>
                </c:pt>
                <c:pt idx="4">
                  <c:v>1609</c:v>
                </c:pt>
                <c:pt idx="5">
                  <c:v>1876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EE-43DA-97CA-9CCFD89EA9E7}"/>
            </c:ext>
          </c:extLst>
        </c:ser>
        <c:ser>
          <c:idx val="1"/>
          <c:order val="1"/>
          <c:tx>
            <c:strRef>
              <c:f>Sheet3!$C$2</c:f>
              <c:strCache>
                <c:ptCount val="1"/>
                <c:pt idx="0">
                  <c:v>Region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Sheet3!$C$3:$C$8</c:f>
              <c:numCache>
                <c:formatCode>General</c:formatCode>
                <c:ptCount val="6"/>
                <c:pt idx="0">
                  <c:v>670</c:v>
                </c:pt>
                <c:pt idx="1">
                  <c:v>720</c:v>
                </c:pt>
                <c:pt idx="2">
                  <c:v>829</c:v>
                </c:pt>
                <c:pt idx="3">
                  <c:v>850</c:v>
                </c:pt>
                <c:pt idx="4">
                  <c:v>1060</c:v>
                </c:pt>
                <c:pt idx="5">
                  <c:v>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EE-43DA-97CA-9CCFD89EA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853360"/>
        <c:axId val="217858160"/>
      </c:scatterChart>
      <c:valAx>
        <c:axId val="21785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58160"/>
        <c:crosses val="autoZero"/>
        <c:crossBetween val="midCat"/>
      </c:valAx>
      <c:valAx>
        <c:axId val="2178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Number of 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53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Unit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Region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Sheet3!$B$3:$B$8</c:f>
              <c:numCache>
                <c:formatCode>General</c:formatCode>
                <c:ptCount val="6"/>
                <c:pt idx="0">
                  <c:v>1203</c:v>
                </c:pt>
                <c:pt idx="1">
                  <c:v>1490</c:v>
                </c:pt>
                <c:pt idx="2">
                  <c:v>1345</c:v>
                </c:pt>
                <c:pt idx="3">
                  <c:v>1540</c:v>
                </c:pt>
                <c:pt idx="4">
                  <c:v>1609</c:v>
                </c:pt>
                <c:pt idx="5">
                  <c:v>1876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A7-4934-BE05-557F5E4589D4}"/>
            </c:ext>
          </c:extLst>
        </c:ser>
        <c:ser>
          <c:idx val="1"/>
          <c:order val="1"/>
          <c:tx>
            <c:strRef>
              <c:f>Sheet3!$C$2</c:f>
              <c:strCache>
                <c:ptCount val="1"/>
                <c:pt idx="0">
                  <c:v>Region 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Sheet3!$C$3:$C$8</c:f>
              <c:numCache>
                <c:formatCode>General</c:formatCode>
                <c:ptCount val="6"/>
                <c:pt idx="0">
                  <c:v>670</c:v>
                </c:pt>
                <c:pt idx="1">
                  <c:v>720</c:v>
                </c:pt>
                <c:pt idx="2">
                  <c:v>829</c:v>
                </c:pt>
                <c:pt idx="3">
                  <c:v>850</c:v>
                </c:pt>
                <c:pt idx="4">
                  <c:v>1060</c:v>
                </c:pt>
                <c:pt idx="5">
                  <c:v>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A7-4934-BE05-557F5E458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188128"/>
        <c:axId val="265194848"/>
      </c:scatterChart>
      <c:valAx>
        <c:axId val="26518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94848"/>
        <c:crosses val="autoZero"/>
        <c:crossBetween val="midCat"/>
      </c:valAx>
      <c:valAx>
        <c:axId val="2651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Number of 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88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Unit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Sheet4!$B$2</c:f>
              <c:strCache>
                <c:ptCount val="1"/>
                <c:pt idx="0">
                  <c:v>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Sheet4!$B$3:$B$8</c:f>
              <c:numCache>
                <c:formatCode>General</c:formatCode>
                <c:ptCount val="6"/>
                <c:pt idx="0">
                  <c:v>1203</c:v>
                </c:pt>
                <c:pt idx="1">
                  <c:v>1490</c:v>
                </c:pt>
                <c:pt idx="2">
                  <c:v>1345</c:v>
                </c:pt>
                <c:pt idx="3">
                  <c:v>1540</c:v>
                </c:pt>
                <c:pt idx="4">
                  <c:v>1609</c:v>
                </c:pt>
                <c:pt idx="5">
                  <c:v>1876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B4-4CCD-B95A-39806E95F8ED}"/>
            </c:ext>
          </c:extLst>
        </c:ser>
        <c:ser>
          <c:idx val="1"/>
          <c:order val="1"/>
          <c:tx>
            <c:strRef>
              <c:f>Sheet4!$C$2</c:f>
              <c:strCache>
                <c:ptCount val="1"/>
                <c:pt idx="0">
                  <c:v>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Sheet4!$C$3:$C$8</c:f>
              <c:numCache>
                <c:formatCode>General</c:formatCode>
                <c:ptCount val="6"/>
                <c:pt idx="0">
                  <c:v>670</c:v>
                </c:pt>
                <c:pt idx="1">
                  <c:v>720</c:v>
                </c:pt>
                <c:pt idx="2">
                  <c:v>829</c:v>
                </c:pt>
                <c:pt idx="3">
                  <c:v>850</c:v>
                </c:pt>
                <c:pt idx="4">
                  <c:v>1060</c:v>
                </c:pt>
                <c:pt idx="5">
                  <c:v>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B4-4CCD-B95A-39806E95F8ED}"/>
            </c:ext>
          </c:extLst>
        </c:ser>
        <c:ser>
          <c:idx val="2"/>
          <c:order val="2"/>
          <c:tx>
            <c:strRef>
              <c:f>Sheet4!$D$2</c:f>
              <c:strCache>
                <c:ptCount val="1"/>
                <c:pt idx="0">
                  <c:v>Region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Sheet4!$A$3:$A$8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Sheet4!$D$3:$D$8</c:f>
              <c:numCache>
                <c:formatCode>General</c:formatCode>
                <c:ptCount val="6"/>
                <c:pt idx="0">
                  <c:v>2012</c:v>
                </c:pt>
                <c:pt idx="1">
                  <c:v>1907</c:v>
                </c:pt>
                <c:pt idx="2">
                  <c:v>1601</c:v>
                </c:pt>
                <c:pt idx="3">
                  <c:v>2032</c:v>
                </c:pt>
                <c:pt idx="4">
                  <c:v>2243</c:v>
                </c:pt>
                <c:pt idx="5">
                  <c:v>2494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B4-4CCD-B95A-39806E95F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860560"/>
        <c:axId val="217861040"/>
      </c:scatterChart>
      <c:valAx>
        <c:axId val="21786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61040"/>
        <c:crosses val="autoZero"/>
        <c:crossBetween val="midCat"/>
      </c:valAx>
      <c:valAx>
        <c:axId val="21786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6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Unit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Sheet4!$B$2</c:f>
              <c:strCache>
                <c:ptCount val="1"/>
                <c:pt idx="0">
                  <c:v>Region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Sheet4!$A$3:$A$8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Sheet4!$B$3:$B$8</c:f>
              <c:numCache>
                <c:formatCode>General</c:formatCode>
                <c:ptCount val="6"/>
                <c:pt idx="0">
                  <c:v>1203</c:v>
                </c:pt>
                <c:pt idx="1">
                  <c:v>1490</c:v>
                </c:pt>
                <c:pt idx="2">
                  <c:v>1345</c:v>
                </c:pt>
                <c:pt idx="3">
                  <c:v>1540</c:v>
                </c:pt>
                <c:pt idx="4">
                  <c:v>1609</c:v>
                </c:pt>
                <c:pt idx="5">
                  <c:v>1876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C-4C33-96F8-0E1B6BF527BC}"/>
            </c:ext>
          </c:extLst>
        </c:ser>
        <c:ser>
          <c:idx val="1"/>
          <c:order val="1"/>
          <c:tx>
            <c:strRef>
              <c:f>Sheet4!$C$2</c:f>
              <c:strCache>
                <c:ptCount val="1"/>
                <c:pt idx="0">
                  <c:v>Region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Sheet4!$A$3:$A$8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Sheet4!$C$3:$C$8</c:f>
              <c:numCache>
                <c:formatCode>General</c:formatCode>
                <c:ptCount val="6"/>
                <c:pt idx="0">
                  <c:v>670</c:v>
                </c:pt>
                <c:pt idx="1">
                  <c:v>720</c:v>
                </c:pt>
                <c:pt idx="2">
                  <c:v>829</c:v>
                </c:pt>
                <c:pt idx="3">
                  <c:v>850</c:v>
                </c:pt>
                <c:pt idx="4">
                  <c:v>1060</c:v>
                </c:pt>
                <c:pt idx="5">
                  <c:v>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FC-4C33-96F8-0E1B6BF527BC}"/>
            </c:ext>
          </c:extLst>
        </c:ser>
        <c:ser>
          <c:idx val="2"/>
          <c:order val="2"/>
          <c:tx>
            <c:strRef>
              <c:f>Sheet4!$D$2</c:f>
              <c:strCache>
                <c:ptCount val="1"/>
                <c:pt idx="0">
                  <c:v>Region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Sheet4!$A$3:$A$8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Sheet4!$D$3:$D$8</c:f>
              <c:numCache>
                <c:formatCode>General</c:formatCode>
                <c:ptCount val="6"/>
                <c:pt idx="0">
                  <c:v>2012</c:v>
                </c:pt>
                <c:pt idx="1">
                  <c:v>1907</c:v>
                </c:pt>
                <c:pt idx="2">
                  <c:v>1601</c:v>
                </c:pt>
                <c:pt idx="3">
                  <c:v>2032</c:v>
                </c:pt>
                <c:pt idx="4">
                  <c:v>2243</c:v>
                </c:pt>
                <c:pt idx="5">
                  <c:v>2494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FC-4C33-96F8-0E1B6BF52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4230912"/>
        <c:axId val="254229472"/>
      </c:barChart>
      <c:catAx>
        <c:axId val="25423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229472"/>
        <c:crosses val="autoZero"/>
        <c:auto val="1"/>
        <c:lblAlgn val="ctr"/>
        <c:lblOffset val="100"/>
        <c:noMultiLvlLbl val="0"/>
      </c:catAx>
      <c:valAx>
        <c:axId val="25422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23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Sheet4!$B$2</c:f>
              <c:strCache>
                <c:ptCount val="1"/>
                <c:pt idx="0">
                  <c:v>Region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Sheet4!$A$3:$A$8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Sheet4!$B$3:$B$8</c:f>
              <c:numCache>
                <c:formatCode>General</c:formatCode>
                <c:ptCount val="6"/>
                <c:pt idx="0">
                  <c:v>1203</c:v>
                </c:pt>
                <c:pt idx="1">
                  <c:v>1490</c:v>
                </c:pt>
                <c:pt idx="2">
                  <c:v>1345</c:v>
                </c:pt>
                <c:pt idx="3">
                  <c:v>1540</c:v>
                </c:pt>
                <c:pt idx="4">
                  <c:v>1609</c:v>
                </c:pt>
                <c:pt idx="5">
                  <c:v>1876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A-4934-9A49-BB920AB86681}"/>
            </c:ext>
          </c:extLst>
        </c:ser>
        <c:ser>
          <c:idx val="1"/>
          <c:order val="1"/>
          <c:tx>
            <c:strRef>
              <c:f>Sheet4!$C$2</c:f>
              <c:strCache>
                <c:ptCount val="1"/>
                <c:pt idx="0">
                  <c:v>Region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Sheet4!$A$3:$A$8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Sheet4!$C$3:$C$8</c:f>
              <c:numCache>
                <c:formatCode>General</c:formatCode>
                <c:ptCount val="6"/>
                <c:pt idx="0">
                  <c:v>670</c:v>
                </c:pt>
                <c:pt idx="1">
                  <c:v>720</c:v>
                </c:pt>
                <c:pt idx="2">
                  <c:v>829</c:v>
                </c:pt>
                <c:pt idx="3">
                  <c:v>850</c:v>
                </c:pt>
                <c:pt idx="4">
                  <c:v>1060</c:v>
                </c:pt>
                <c:pt idx="5">
                  <c:v>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DA-4934-9A49-BB920AB86681}"/>
            </c:ext>
          </c:extLst>
        </c:ser>
        <c:ser>
          <c:idx val="2"/>
          <c:order val="2"/>
          <c:tx>
            <c:strRef>
              <c:f>Sheet4!$D$2</c:f>
              <c:strCache>
                <c:ptCount val="1"/>
                <c:pt idx="0">
                  <c:v>Region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Sheet4!$A$3:$A$8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Sheet4!$D$3:$D$8</c:f>
              <c:numCache>
                <c:formatCode>General</c:formatCode>
                <c:ptCount val="6"/>
                <c:pt idx="0">
                  <c:v>2012</c:v>
                </c:pt>
                <c:pt idx="1">
                  <c:v>1907</c:v>
                </c:pt>
                <c:pt idx="2">
                  <c:v>1601</c:v>
                </c:pt>
                <c:pt idx="3">
                  <c:v>2032</c:v>
                </c:pt>
                <c:pt idx="4">
                  <c:v>2243</c:v>
                </c:pt>
                <c:pt idx="5">
                  <c:v>2494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DA-4934-9A49-BB920AB86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75799776"/>
        <c:axId val="1475797856"/>
        <c:axId val="266836608"/>
      </c:bar3DChart>
      <c:catAx>
        <c:axId val="147579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797856"/>
        <c:crosses val="autoZero"/>
        <c:auto val="1"/>
        <c:lblAlgn val="ctr"/>
        <c:lblOffset val="100"/>
        <c:noMultiLvlLbl val="0"/>
      </c:catAx>
      <c:valAx>
        <c:axId val="147579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799776"/>
        <c:crosses val="autoZero"/>
        <c:crossBetween val="between"/>
      </c:valAx>
      <c:serAx>
        <c:axId val="266836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79785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Sheet5!$B$2</c:f>
              <c:strCache>
                <c:ptCount val="1"/>
                <c:pt idx="0">
                  <c:v>Region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Sheet5!$B$3:$B$8</c:f>
              <c:numCache>
                <c:formatCode>General</c:formatCode>
                <c:ptCount val="6"/>
                <c:pt idx="0">
                  <c:v>1203</c:v>
                </c:pt>
                <c:pt idx="1">
                  <c:v>1490</c:v>
                </c:pt>
                <c:pt idx="2">
                  <c:v>1345</c:v>
                </c:pt>
                <c:pt idx="3">
                  <c:v>1540</c:v>
                </c:pt>
                <c:pt idx="4">
                  <c:v>1609</c:v>
                </c:pt>
                <c:pt idx="5">
                  <c:v>1876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1-4618-991C-58DD1193BE07}"/>
            </c:ext>
          </c:extLst>
        </c:ser>
        <c:ser>
          <c:idx val="1"/>
          <c:order val="1"/>
          <c:tx>
            <c:strRef>
              <c:f>Sheet5!$C$2</c:f>
              <c:strCache>
                <c:ptCount val="1"/>
                <c:pt idx="0">
                  <c:v>Region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Sheet5!$A$3:$A$8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Sheet5!$C$3:$C$8</c:f>
              <c:numCache>
                <c:formatCode>General</c:formatCode>
                <c:ptCount val="6"/>
                <c:pt idx="0">
                  <c:v>670</c:v>
                </c:pt>
                <c:pt idx="1">
                  <c:v>720</c:v>
                </c:pt>
                <c:pt idx="2">
                  <c:v>829</c:v>
                </c:pt>
                <c:pt idx="3">
                  <c:v>850</c:v>
                </c:pt>
                <c:pt idx="4">
                  <c:v>1060</c:v>
                </c:pt>
                <c:pt idx="5">
                  <c:v>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1-4618-991C-58DD1193BE07}"/>
            </c:ext>
          </c:extLst>
        </c:ser>
        <c:ser>
          <c:idx val="2"/>
          <c:order val="2"/>
          <c:tx>
            <c:strRef>
              <c:f>Sheet5!$D$2</c:f>
              <c:strCache>
                <c:ptCount val="1"/>
                <c:pt idx="0">
                  <c:v>Region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Sheet5!$A$3:$A$8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Sheet5!$D$3:$D$8</c:f>
              <c:numCache>
                <c:formatCode>General</c:formatCode>
                <c:ptCount val="6"/>
                <c:pt idx="0">
                  <c:v>2012</c:v>
                </c:pt>
                <c:pt idx="1">
                  <c:v>1907</c:v>
                </c:pt>
                <c:pt idx="2">
                  <c:v>1601</c:v>
                </c:pt>
                <c:pt idx="3">
                  <c:v>2032</c:v>
                </c:pt>
                <c:pt idx="4">
                  <c:v>2243</c:v>
                </c:pt>
                <c:pt idx="5">
                  <c:v>2494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01-4618-991C-58DD1193BE07}"/>
            </c:ext>
          </c:extLst>
        </c:ser>
        <c:ser>
          <c:idx val="3"/>
          <c:order val="3"/>
          <c:tx>
            <c:strRef>
              <c:f>Sheet5!$B$10</c:f>
              <c:strCache>
                <c:ptCount val="1"/>
                <c:pt idx="0">
                  <c:v>Region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4"/>
            <c:dispRSqr val="0"/>
            <c:dispEq val="0"/>
          </c:trendline>
          <c:xVal>
            <c:numRef>
              <c:f>Sheet5!$A$11:$A$14</c:f>
              <c:numCache>
                <c:formatCode>General</c:formatCode>
                <c:ptCount val="4"/>
                <c:pt idx="0">
                  <c:v>2016</c:v>
                </c:pt>
                <c:pt idx="1">
                  <c:v>2017</c:v>
                </c:pt>
                <c:pt idx="2">
                  <c:v>2019</c:v>
                </c:pt>
                <c:pt idx="3">
                  <c:v>2021</c:v>
                </c:pt>
              </c:numCache>
            </c:numRef>
          </c:xVal>
          <c:yVal>
            <c:numRef>
              <c:f>Sheet5!$B$11:$B$14</c:f>
              <c:numCache>
                <c:formatCode>General</c:formatCode>
                <c:ptCount val="4"/>
                <c:pt idx="0">
                  <c:v>900</c:v>
                </c:pt>
                <c:pt idx="1">
                  <c:v>800</c:v>
                </c:pt>
                <c:pt idx="2">
                  <c:v>700</c:v>
                </c:pt>
                <c:pt idx="3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01-4618-991C-58DD1193B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393504"/>
        <c:axId val="1466393984"/>
      </c:scatterChart>
      <c:valAx>
        <c:axId val="146639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393984"/>
        <c:crosses val="autoZero"/>
        <c:crossBetween val="midCat"/>
      </c:valAx>
      <c:valAx>
        <c:axId val="146639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393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133350</xdr:rowOff>
    </xdr:from>
    <xdr:to>
      <xdr:col>13</xdr:col>
      <xdr:colOff>266700</xdr:colOff>
      <xdr:row>19</xdr:row>
      <xdr:rowOff>28581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6F8FEF-F2FE-857F-10A8-591B35EE4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600075</xdr:colOff>
      <xdr:row>21</xdr:row>
      <xdr:rowOff>90487</xdr:rowOff>
    </xdr:from>
    <xdr:to>
      <xdr:col>13</xdr:col>
      <xdr:colOff>295275</xdr:colOff>
      <xdr:row>35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6E55B5-F9A7-CE02-5E57-8FA66637F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128587</xdr:colOff>
      <xdr:row>1</xdr:row>
      <xdr:rowOff>138112</xdr:rowOff>
    </xdr:from>
    <xdr:to>
      <xdr:col>13</xdr:col>
      <xdr:colOff>433387</xdr:colOff>
      <xdr:row>16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B9724F-D4FD-4B2E-35D3-66A496C11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16</xdr:row>
      <xdr:rowOff>138112</xdr:rowOff>
    </xdr:from>
    <xdr:to>
      <xdr:col>9</xdr:col>
      <xdr:colOff>314325</xdr:colOff>
      <xdr:row>31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10C852-1D98-DA99-AD09-772BB9949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238126</xdr:colOff>
      <xdr:row>19</xdr:row>
      <xdr:rowOff>66674</xdr:rowOff>
    </xdr:from>
    <xdr:to>
      <xdr:col>13</xdr:col>
      <xdr:colOff>561976</xdr:colOff>
      <xdr:row>32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6ABBCB-FCA2-07E7-4BFF-31A31A38E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6</xdr:row>
      <xdr:rowOff>38100</xdr:rowOff>
    </xdr:from>
    <xdr:to>
      <xdr:col>11</xdr:col>
      <xdr:colOff>257175</xdr:colOff>
      <xdr:row>25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219715-ECD7-87B0-38ED-94275A964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opLeftCell="A4" zoomScale="115" zoomScaleNormal="115" workbookViewId="0">
      <selection activeCell="F11" sqref="F11"/>
    </sheetView>
  </sheetViews>
  <sheetFormatPr defaultRowHeight="15" x14ac:dyDescent="0.25"/>
  <cols>
    <col min="1" max="1" width="18.28515625" customWidth="1"/>
  </cols>
  <sheetData>
    <row r="1" spans="1:2" x14ac:dyDescent="0.25">
      <c r="A1" t="s">
        <v>0</v>
      </c>
    </row>
    <row r="3" spans="1:2" x14ac:dyDescent="0.25">
      <c r="A3" t="s">
        <v>1</v>
      </c>
      <c r="B3" s="1">
        <v>52</v>
      </c>
    </row>
    <row r="4" spans="1:2" x14ac:dyDescent="0.25">
      <c r="A4" t="s">
        <v>2</v>
      </c>
      <c r="B4">
        <v>2300</v>
      </c>
    </row>
    <row r="5" spans="1:2" x14ac:dyDescent="0.25">
      <c r="A5" t="s">
        <v>3</v>
      </c>
      <c r="B5" s="1">
        <f>B3*B4</f>
        <v>119600</v>
      </c>
    </row>
    <row r="6" spans="1:2" x14ac:dyDescent="0.25">
      <c r="B6" s="1"/>
    </row>
    <row r="7" spans="1:2" x14ac:dyDescent="0.25">
      <c r="A7" t="s">
        <v>4</v>
      </c>
      <c r="B7" s="1"/>
    </row>
    <row r="8" spans="1:2" x14ac:dyDescent="0.25">
      <c r="A8" t="s">
        <v>5</v>
      </c>
      <c r="B8" s="1">
        <v>25000</v>
      </c>
    </row>
    <row r="9" spans="1:2" x14ac:dyDescent="0.25">
      <c r="A9" t="s">
        <v>6</v>
      </c>
      <c r="B9" s="1">
        <v>5600</v>
      </c>
    </row>
    <row r="10" spans="1:2" x14ac:dyDescent="0.25">
      <c r="A10" t="s">
        <v>7</v>
      </c>
      <c r="B10" s="1">
        <v>10000</v>
      </c>
    </row>
    <row r="11" spans="1:2" x14ac:dyDescent="0.25">
      <c r="A11" t="s">
        <v>8</v>
      </c>
      <c r="B11" s="1">
        <v>22000</v>
      </c>
    </row>
    <row r="12" spans="1:2" x14ac:dyDescent="0.25">
      <c r="A12" t="s">
        <v>9</v>
      </c>
      <c r="B12" s="1">
        <f>SUM(B8:B11)</f>
        <v>62600</v>
      </c>
    </row>
    <row r="13" spans="1:2" x14ac:dyDescent="0.25">
      <c r="B13" s="1"/>
    </row>
    <row r="14" spans="1:2" x14ac:dyDescent="0.25">
      <c r="A14" t="s">
        <v>10</v>
      </c>
      <c r="B14" s="1">
        <f>B5-B12</f>
        <v>57000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4DDD-9D96-4989-8AB6-07376D34563C}">
  <dimension ref="A1:E12"/>
  <sheetViews>
    <sheetView workbookViewId="0">
      <selection activeCell="D7" sqref="D7"/>
    </sheetView>
  </sheetViews>
  <sheetFormatPr defaultRowHeight="15" x14ac:dyDescent="0.25"/>
  <cols>
    <col min="1" max="1" width="13" customWidth="1"/>
  </cols>
  <sheetData>
    <row r="1" spans="1:5" x14ac:dyDescent="0.25">
      <c r="A1" s="9" t="s">
        <v>11</v>
      </c>
      <c r="B1" s="9"/>
      <c r="C1" s="9"/>
      <c r="D1" s="9"/>
      <c r="E1" s="9"/>
    </row>
    <row r="3" spans="1:5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</row>
    <row r="4" spans="1:5" x14ac:dyDescent="0.25">
      <c r="A4" s="3"/>
    </row>
    <row r="5" spans="1:5" x14ac:dyDescent="0.25">
      <c r="A5" s="3" t="s">
        <v>18</v>
      </c>
      <c r="B5">
        <v>95</v>
      </c>
      <c r="C5">
        <v>100</v>
      </c>
      <c r="D5">
        <v>80</v>
      </c>
      <c r="E5" s="2">
        <f>AVERAGE(B5:D5)</f>
        <v>91.666666666666671</v>
      </c>
    </row>
    <row r="6" spans="1:5" x14ac:dyDescent="0.25">
      <c r="A6" s="3" t="s">
        <v>17</v>
      </c>
      <c r="B6">
        <v>82</v>
      </c>
      <c r="C6">
        <v>89</v>
      </c>
      <c r="D6">
        <v>71</v>
      </c>
      <c r="E6" s="2">
        <f t="shared" ref="E6:E10" si="0">AVERAGE(B6:D6)</f>
        <v>80.666666666666671</v>
      </c>
    </row>
    <row r="7" spans="1:5" x14ac:dyDescent="0.25">
      <c r="A7" s="3" t="s">
        <v>19</v>
      </c>
      <c r="B7">
        <v>71</v>
      </c>
      <c r="C7">
        <v>90</v>
      </c>
      <c r="D7">
        <v>61</v>
      </c>
      <c r="E7" s="2">
        <f t="shared" si="0"/>
        <v>74</v>
      </c>
    </row>
    <row r="8" spans="1:5" x14ac:dyDescent="0.25">
      <c r="A8" s="3" t="s">
        <v>20</v>
      </c>
      <c r="B8">
        <v>89</v>
      </c>
      <c r="C8">
        <v>85</v>
      </c>
      <c r="D8">
        <v>78</v>
      </c>
      <c r="E8" s="2">
        <f t="shared" si="0"/>
        <v>84</v>
      </c>
    </row>
    <row r="9" spans="1:5" x14ac:dyDescent="0.25">
      <c r="A9" s="3" t="s">
        <v>21</v>
      </c>
      <c r="B9">
        <v>52</v>
      </c>
      <c r="C9">
        <v>81</v>
      </c>
      <c r="D9">
        <v>90</v>
      </c>
      <c r="E9" s="2">
        <f t="shared" si="0"/>
        <v>74.333333333333329</v>
      </c>
    </row>
    <row r="10" spans="1:5" x14ac:dyDescent="0.25">
      <c r="A10" s="3" t="s">
        <v>22</v>
      </c>
      <c r="B10">
        <v>94</v>
      </c>
      <c r="C10">
        <v>99</v>
      </c>
      <c r="D10">
        <v>82</v>
      </c>
      <c r="E10" s="2">
        <f t="shared" si="0"/>
        <v>91.666666666666671</v>
      </c>
    </row>
    <row r="11" spans="1:5" x14ac:dyDescent="0.25">
      <c r="A11" s="3"/>
    </row>
    <row r="12" spans="1:5" x14ac:dyDescent="0.25">
      <c r="A12" s="3" t="s">
        <v>23</v>
      </c>
      <c r="B12">
        <f>AVERAGE(B5:B10)</f>
        <v>80.5</v>
      </c>
      <c r="C12" s="2">
        <f t="shared" ref="C12:D12" si="1">AVERAGE(C5:C10)</f>
        <v>90.666666666666671</v>
      </c>
      <c r="D12">
        <f t="shared" si="1"/>
        <v>77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DED0-37C9-466A-9D39-71401229A685}">
  <dimension ref="A1:D24"/>
  <sheetViews>
    <sheetView workbookViewId="0">
      <selection activeCell="O30" sqref="O30"/>
    </sheetView>
  </sheetViews>
  <sheetFormatPr defaultRowHeight="15" x14ac:dyDescent="0.25"/>
  <sheetData>
    <row r="1" spans="1:4" x14ac:dyDescent="0.25">
      <c r="A1" s="4"/>
      <c r="B1" s="9" t="s">
        <v>2</v>
      </c>
      <c r="C1" s="9"/>
      <c r="D1" s="9"/>
    </row>
    <row r="2" spans="1:4" x14ac:dyDescent="0.25">
      <c r="A2" s="5" t="s">
        <v>24</v>
      </c>
      <c r="B2" s="6" t="s">
        <v>25</v>
      </c>
      <c r="C2" s="6" t="s">
        <v>26</v>
      </c>
      <c r="D2" s="6" t="s">
        <v>27</v>
      </c>
    </row>
    <row r="3" spans="1:4" x14ac:dyDescent="0.25">
      <c r="A3" s="7">
        <v>2017</v>
      </c>
      <c r="B3" s="8">
        <v>1203</v>
      </c>
      <c r="C3" s="8">
        <v>670</v>
      </c>
      <c r="D3" s="8">
        <v>2012</v>
      </c>
    </row>
    <row r="4" spans="1:4" x14ac:dyDescent="0.25">
      <c r="A4" s="7">
        <v>2018</v>
      </c>
      <c r="B4" s="8">
        <v>1490</v>
      </c>
      <c r="C4" s="8">
        <v>720</v>
      </c>
      <c r="D4" s="8">
        <v>1907</v>
      </c>
    </row>
    <row r="5" spans="1:4" x14ac:dyDescent="0.25">
      <c r="A5" s="7">
        <v>2019</v>
      </c>
      <c r="B5" s="8">
        <v>1345</v>
      </c>
      <c r="C5" s="8">
        <v>829</v>
      </c>
      <c r="D5" s="8">
        <v>1601</v>
      </c>
    </row>
    <row r="6" spans="1:4" x14ac:dyDescent="0.25">
      <c r="A6" s="7">
        <v>2020</v>
      </c>
      <c r="B6" s="8">
        <v>1540</v>
      </c>
      <c r="C6" s="8">
        <v>850</v>
      </c>
      <c r="D6" s="8">
        <v>2032</v>
      </c>
    </row>
    <row r="7" spans="1:4" x14ac:dyDescent="0.25">
      <c r="A7" s="7">
        <v>2021</v>
      </c>
      <c r="B7" s="8">
        <v>1609</v>
      </c>
      <c r="C7" s="8">
        <v>1060</v>
      </c>
      <c r="D7" s="8">
        <v>2243</v>
      </c>
    </row>
    <row r="8" spans="1:4" x14ac:dyDescent="0.25">
      <c r="A8" s="7">
        <v>2022</v>
      </c>
      <c r="B8" s="8">
        <v>1876</v>
      </c>
      <c r="C8" s="8">
        <v>978</v>
      </c>
      <c r="D8" s="8">
        <v>2494</v>
      </c>
    </row>
    <row r="23" spans="1:4" x14ac:dyDescent="0.25">
      <c r="A23">
        <v>2025</v>
      </c>
      <c r="D23">
        <f>111.9*2025-224500</f>
        <v>2097.5</v>
      </c>
    </row>
    <row r="24" spans="1:4" x14ac:dyDescent="0.25">
      <c r="D24">
        <f>73.743*A23-148073</f>
        <v>1256.5749999999825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5294-6B67-4792-8DE4-A8C7F9DB2D77}">
  <dimension ref="A1:D8"/>
  <sheetViews>
    <sheetView workbookViewId="0">
      <selection activeCell="C13" sqref="C13"/>
    </sheetView>
  </sheetViews>
  <sheetFormatPr defaultRowHeight="15" x14ac:dyDescent="0.25"/>
  <sheetData>
    <row r="1" spans="1:4" x14ac:dyDescent="0.25">
      <c r="A1" s="4"/>
      <c r="B1" s="9" t="s">
        <v>2</v>
      </c>
      <c r="C1" s="9"/>
      <c r="D1" s="9"/>
    </row>
    <row r="2" spans="1:4" x14ac:dyDescent="0.25">
      <c r="A2" s="5" t="s">
        <v>24</v>
      </c>
      <c r="B2" s="6" t="s">
        <v>25</v>
      </c>
      <c r="C2" s="6" t="s">
        <v>26</v>
      </c>
      <c r="D2" s="6" t="s">
        <v>27</v>
      </c>
    </row>
    <row r="3" spans="1:4" x14ac:dyDescent="0.25">
      <c r="A3" s="7">
        <v>2017</v>
      </c>
      <c r="B3" s="8">
        <v>1203</v>
      </c>
      <c r="C3" s="8">
        <v>670</v>
      </c>
      <c r="D3" s="8">
        <v>2012</v>
      </c>
    </row>
    <row r="4" spans="1:4" x14ac:dyDescent="0.25">
      <c r="A4" s="7">
        <v>2018</v>
      </c>
      <c r="B4" s="8">
        <v>1490</v>
      </c>
      <c r="C4" s="8">
        <v>720</v>
      </c>
      <c r="D4" s="8">
        <v>1907</v>
      </c>
    </row>
    <row r="5" spans="1:4" x14ac:dyDescent="0.25">
      <c r="A5" s="7">
        <v>2019</v>
      </c>
      <c r="B5" s="8">
        <v>1345</v>
      </c>
      <c r="C5" s="8">
        <v>829</v>
      </c>
      <c r="D5" s="8">
        <v>1601</v>
      </c>
    </row>
    <row r="6" spans="1:4" x14ac:dyDescent="0.25">
      <c r="A6" s="7">
        <v>2020</v>
      </c>
      <c r="B6" s="8">
        <v>1540</v>
      </c>
      <c r="C6" s="8">
        <v>850</v>
      </c>
      <c r="D6" s="8">
        <v>2032</v>
      </c>
    </row>
    <row r="7" spans="1:4" x14ac:dyDescent="0.25">
      <c r="A7" s="7">
        <v>2021</v>
      </c>
      <c r="B7" s="8">
        <v>1609</v>
      </c>
      <c r="C7" s="8">
        <v>1060</v>
      </c>
      <c r="D7" s="8">
        <v>2243</v>
      </c>
    </row>
    <row r="8" spans="1:4" x14ac:dyDescent="0.25">
      <c r="A8" s="7">
        <v>2022</v>
      </c>
      <c r="B8" s="8">
        <v>1876</v>
      </c>
      <c r="C8" s="8">
        <v>978</v>
      </c>
      <c r="D8" s="8">
        <v>2494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00C8-20D6-461F-BBC2-CC0C1A5D9ACE}">
  <dimension ref="A1:D14"/>
  <sheetViews>
    <sheetView workbookViewId="0">
      <selection activeCell="O19" sqref="O19"/>
    </sheetView>
  </sheetViews>
  <sheetFormatPr defaultRowHeight="15" x14ac:dyDescent="0.25"/>
  <sheetData>
    <row r="1" spans="1:4" x14ac:dyDescent="0.25">
      <c r="A1" s="4"/>
      <c r="B1" s="9" t="s">
        <v>2</v>
      </c>
      <c r="C1" s="9"/>
      <c r="D1" s="9"/>
    </row>
    <row r="2" spans="1:4" x14ac:dyDescent="0.25">
      <c r="A2" s="5" t="s">
        <v>24</v>
      </c>
      <c r="B2" s="6" t="s">
        <v>25</v>
      </c>
      <c r="C2" s="6" t="s">
        <v>26</v>
      </c>
      <c r="D2" s="6" t="s">
        <v>27</v>
      </c>
    </row>
    <row r="3" spans="1:4" x14ac:dyDescent="0.25">
      <c r="A3" s="7">
        <v>2017</v>
      </c>
      <c r="B3" s="8">
        <v>1203</v>
      </c>
      <c r="C3" s="8">
        <v>670</v>
      </c>
      <c r="D3" s="8">
        <v>2012</v>
      </c>
    </row>
    <row r="4" spans="1:4" x14ac:dyDescent="0.25">
      <c r="A4" s="7">
        <v>2018</v>
      </c>
      <c r="B4" s="8">
        <v>1490</v>
      </c>
      <c r="C4" s="8">
        <v>720</v>
      </c>
      <c r="D4" s="8">
        <v>1907</v>
      </c>
    </row>
    <row r="5" spans="1:4" x14ac:dyDescent="0.25">
      <c r="A5" s="7">
        <v>2019</v>
      </c>
      <c r="B5" s="8">
        <v>1345</v>
      </c>
      <c r="C5" s="8">
        <v>829</v>
      </c>
      <c r="D5" s="8">
        <v>1601</v>
      </c>
    </row>
    <row r="6" spans="1:4" x14ac:dyDescent="0.25">
      <c r="A6" s="7">
        <v>2020</v>
      </c>
      <c r="B6" s="8">
        <v>1540</v>
      </c>
      <c r="C6" s="8">
        <v>850</v>
      </c>
      <c r="D6" s="8">
        <v>2032</v>
      </c>
    </row>
    <row r="7" spans="1:4" x14ac:dyDescent="0.25">
      <c r="A7" s="7">
        <v>2021</v>
      </c>
      <c r="B7" s="8">
        <v>1609</v>
      </c>
      <c r="C7" s="8">
        <v>1060</v>
      </c>
      <c r="D7" s="8">
        <v>2243</v>
      </c>
    </row>
    <row r="8" spans="1:4" x14ac:dyDescent="0.25">
      <c r="A8" s="7">
        <v>2022</v>
      </c>
      <c r="B8" s="8">
        <v>1876</v>
      </c>
      <c r="C8" s="8">
        <v>978</v>
      </c>
      <c r="D8" s="8">
        <v>2494</v>
      </c>
    </row>
    <row r="10" spans="1:4" x14ac:dyDescent="0.25">
      <c r="B10" s="3" t="s">
        <v>28</v>
      </c>
    </row>
    <row r="11" spans="1:4" x14ac:dyDescent="0.25">
      <c r="A11" s="7">
        <v>2016</v>
      </c>
      <c r="B11" s="8">
        <v>900</v>
      </c>
    </row>
    <row r="12" spans="1:4" x14ac:dyDescent="0.25">
      <c r="A12" s="7">
        <v>2017</v>
      </c>
      <c r="B12" s="8">
        <v>800</v>
      </c>
    </row>
    <row r="13" spans="1:4" x14ac:dyDescent="0.25">
      <c r="A13" s="7">
        <v>2019</v>
      </c>
      <c r="B13" s="8">
        <v>700</v>
      </c>
    </row>
    <row r="14" spans="1:4" x14ac:dyDescent="0.25">
      <c r="A14" s="7">
        <v>2021</v>
      </c>
      <c r="B14" s="8">
        <v>500</v>
      </c>
    </row>
  </sheetData>
  <mergeCells count="1">
    <mergeCell ref="B1:D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44EF-60B0-4199-A92C-41BE2D8F9D26}">
  <dimension ref="A1:M13"/>
  <sheetViews>
    <sheetView zoomScale="124" zoomScaleNormal="124" workbookViewId="0">
      <selection activeCell="B2" sqref="B2"/>
    </sheetView>
  </sheetViews>
  <sheetFormatPr defaultRowHeight="15" x14ac:dyDescent="0.25"/>
  <sheetData>
    <row r="1" spans="1:13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5">
      <c r="A2">
        <v>1</v>
      </c>
    </row>
    <row r="3" spans="1:13" x14ac:dyDescent="0.25">
      <c r="A3">
        <v>2</v>
      </c>
    </row>
    <row r="4" spans="1:13" x14ac:dyDescent="0.25">
      <c r="A4">
        <v>3</v>
      </c>
    </row>
    <row r="5" spans="1:13" x14ac:dyDescent="0.25">
      <c r="A5">
        <v>4</v>
      </c>
    </row>
    <row r="6" spans="1:13" x14ac:dyDescent="0.25">
      <c r="A6">
        <v>5</v>
      </c>
    </row>
    <row r="7" spans="1:13" x14ac:dyDescent="0.25">
      <c r="A7">
        <v>6</v>
      </c>
    </row>
    <row r="8" spans="1:13" x14ac:dyDescent="0.25">
      <c r="A8">
        <v>7</v>
      </c>
    </row>
    <row r="9" spans="1:13" x14ac:dyDescent="0.25">
      <c r="A9">
        <v>8</v>
      </c>
    </row>
    <row r="10" spans="1:13" x14ac:dyDescent="0.25">
      <c r="A10">
        <v>9</v>
      </c>
    </row>
    <row r="11" spans="1:13" x14ac:dyDescent="0.25">
      <c r="A11">
        <v>10</v>
      </c>
    </row>
    <row r="12" spans="1:13" x14ac:dyDescent="0.25">
      <c r="A12">
        <v>11</v>
      </c>
    </row>
    <row r="13" spans="1:13" x14ac:dyDescent="0.25">
      <c r="A13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EC78-E6ED-4055-834C-C40F6899C7A0}">
  <dimension ref="B2:C5"/>
  <sheetViews>
    <sheetView tabSelected="1" zoomScaleNormal="100" workbookViewId="0">
      <selection activeCell="C5" sqref="C5"/>
    </sheetView>
  </sheetViews>
  <sheetFormatPr defaultRowHeight="15" x14ac:dyDescent="0.25"/>
  <sheetData>
    <row r="2" spans="2:3" ht="18" x14ac:dyDescent="0.35">
      <c r="B2" t="s">
        <v>30</v>
      </c>
      <c r="C2">
        <v>5</v>
      </c>
    </row>
    <row r="3" spans="2:3" ht="18" x14ac:dyDescent="0.35">
      <c r="B3" t="s">
        <v>29</v>
      </c>
      <c r="C3">
        <v>8</v>
      </c>
    </row>
    <row r="5" spans="2:3" x14ac:dyDescent="0.25">
      <c r="B5" t="s">
        <v>31</v>
      </c>
      <c r="C5" t="b">
        <f>IF(C2&lt;C3,TRUE(),FALSE())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Upul Gunawardana</dc:creator>
  <cp:lastModifiedBy>Upul Gunawardana</cp:lastModifiedBy>
  <dcterms:created xsi:type="dcterms:W3CDTF">2015-06-05T18:17:20Z</dcterms:created>
  <dcterms:modified xsi:type="dcterms:W3CDTF">2023-06-06T14:17:23Z</dcterms:modified>
</cp:coreProperties>
</file>